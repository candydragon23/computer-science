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Админ\Desktop\Новая папка\"/>
    </mc:Choice>
  </mc:AlternateContent>
  <bookViews>
    <workbookView xWindow="0" yWindow="0" windowWidth="28770" windowHeight="1146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1" l="1"/>
  <c r="C13" i="1"/>
  <c r="C12" i="1"/>
  <c r="D12" i="1" s="1"/>
  <c r="F12" i="1" s="1"/>
  <c r="B13" i="1" s="1"/>
  <c r="F11" i="1"/>
  <c r="B12" i="1"/>
  <c r="B11" i="1"/>
  <c r="B7" i="1"/>
  <c r="F13" i="1" l="1"/>
  <c r="B14" i="1" l="1"/>
  <c r="D14" i="1" s="1"/>
  <c r="F14" i="1" s="1"/>
  <c r="C14" i="1"/>
  <c r="C15" i="1" l="1"/>
  <c r="B15" i="1"/>
  <c r="D15" i="1" s="1"/>
  <c r="F15" i="1"/>
  <c r="C16" i="1" s="1"/>
  <c r="B16" i="1" l="1"/>
  <c r="D16" i="1" s="1"/>
  <c r="F16" i="1" l="1"/>
  <c r="C17" i="1" s="1"/>
  <c r="B17" i="1" l="1"/>
  <c r="D17" i="1" s="1"/>
  <c r="F17" i="1" l="1"/>
  <c r="C18" i="1" s="1"/>
  <c r="B18" i="1" l="1"/>
  <c r="D18" i="1" s="1"/>
  <c r="F18" i="1" l="1"/>
  <c r="C19" i="1" s="1"/>
  <c r="B19" i="1" l="1"/>
  <c r="D19" i="1" s="1"/>
  <c r="F19" i="1" l="1"/>
  <c r="C20" i="1" s="1"/>
  <c r="B20" i="1" l="1"/>
  <c r="D20" i="1" s="1"/>
  <c r="F20" i="1" l="1"/>
  <c r="C21" i="1" s="1"/>
  <c r="B21" i="1" l="1"/>
  <c r="D21" i="1" s="1"/>
  <c r="F21" i="1" l="1"/>
  <c r="C22" i="1" s="1"/>
  <c r="B22" i="1" l="1"/>
  <c r="D22" i="1" s="1"/>
  <c r="F22" i="1" l="1"/>
  <c r="C23" i="1" s="1"/>
  <c r="B23" i="1" l="1"/>
  <c r="D23" i="1" l="1"/>
  <c r="F23" i="1" s="1"/>
</calcChain>
</file>

<file path=xl/sharedStrings.xml><?xml version="1.0" encoding="utf-8"?>
<sst xmlns="http://schemas.openxmlformats.org/spreadsheetml/2006/main" count="10" uniqueCount="10">
  <si>
    <t>Сумма кредита</t>
  </si>
  <si>
    <t>Годовая ставка</t>
  </si>
  <si>
    <t>Срок кредита (мес)</t>
  </si>
  <si>
    <t>Период</t>
  </si>
  <si>
    <t>Осталось выплатить</t>
  </si>
  <si>
    <t>Планируемая выплата</t>
  </si>
  <si>
    <t>Платеж</t>
  </si>
  <si>
    <t>На оплату  процентов</t>
  </si>
  <si>
    <t>На выплату по кредиту</t>
  </si>
  <si>
    <t>Дополнительно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</si>
</sst>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#,##0.00\ &quot;₽&quot;;[Red]\-#,##0.00\ &quot;₽&quot;"/>
    <numFmt numFmtId="164" formatCode="#,##0.00\ &quot;₽&quot;"/>
  </numFmts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FAC2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2" borderId="0" xfId="0" applyNumberFormat="1" applyFont="1" applyFill="1"/>
    <xf numFmtId="9" fontId="0" fillId="2" borderId="0" xfId="0" applyNumberFormat="1" applyFill="1"/>
    <xf numFmtId="0" fontId="0" fillId="2" borderId="0" xfId="0" applyFill="1"/>
    <xf numFmtId="8" fontId="0" fillId="0" borderId="0" xfId="0" applyNumberFormat="1"/>
    <xf numFmtId="164" fontId="0" fillId="0" borderId="0" xfId="0" applyNumberFormat="1"/>
    <xf numFmtId="4" fontId="0" fillId="3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DDDDDD"/>
      <color rgb="FFFEFA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5"/>
  <sheetViews>
    <sheetView tabSelected="1" zoomScale="190" zoomScaleNormal="190" workbookViewId="0">
      <selection activeCell="B12" sqref="B12"/>
    </sheetView>
  </sheetViews>
  <sheetFormatPr defaultRowHeight="15" x14ac:dyDescent="0.25"/>
  <cols>
    <col min="1" max="1" width="24.7109375" customWidth="1"/>
    <col min="2" max="2" width="17.42578125" customWidth="1"/>
    <col min="3" max="4" width="21" bestFit="1" customWidth="1"/>
    <col min="5" max="5" width="17.140625" customWidth="1"/>
    <col min="6" max="6" width="19.5703125" bestFit="1" customWidth="1"/>
  </cols>
  <sheetData>
    <row r="2" spans="1:6" x14ac:dyDescent="0.25">
      <c r="A2" t="s">
        <v>0</v>
      </c>
      <c r="B2" s="1">
        <v>1000000</v>
      </c>
    </row>
    <row r="3" spans="1:6" x14ac:dyDescent="0.25">
      <c r="A3" t="s">
        <v>1</v>
      </c>
      <c r="B3" s="2">
        <v>0.12</v>
      </c>
    </row>
    <row r="4" spans="1:6" x14ac:dyDescent="0.25">
      <c r="A4" t="s">
        <v>2</v>
      </c>
      <c r="B4" s="3">
        <v>12</v>
      </c>
    </row>
    <row r="7" spans="1:6" x14ac:dyDescent="0.25">
      <c r="A7" t="s">
        <v>5</v>
      </c>
      <c r="B7" s="6">
        <f>+PMT(B3/12,B4,B2,0,0)</f>
        <v>-88848.788678341691</v>
      </c>
    </row>
    <row r="10" spans="1:6" x14ac:dyDescent="0.25">
      <c r="A10" t="s">
        <v>3</v>
      </c>
      <c r="B10" t="s">
        <v>6</v>
      </c>
      <c r="C10" t="s">
        <v>7</v>
      </c>
      <c r="D10" t="s">
        <v>8</v>
      </c>
      <c r="E10" t="s">
        <v>9</v>
      </c>
      <c r="F10" t="s">
        <v>4</v>
      </c>
    </row>
    <row r="11" spans="1:6" x14ac:dyDescent="0.25">
      <c r="B11" s="5">
        <f>+B2</f>
        <v>1000000</v>
      </c>
      <c r="F11" s="5">
        <f>+B11</f>
        <v>1000000</v>
      </c>
    </row>
    <row r="12" spans="1:6" x14ac:dyDescent="0.25">
      <c r="A12">
        <v>1</v>
      </c>
      <c r="B12" s="4">
        <f>+$B$7</f>
        <v>-88848.788678341691</v>
      </c>
      <c r="C12" s="4">
        <f>-$B$3/12*F11</f>
        <v>-10000</v>
      </c>
      <c r="D12" s="4">
        <f>+B12-C12</f>
        <v>-78848.788678341691</v>
      </c>
      <c r="E12" s="4"/>
      <c r="F12" s="4">
        <f>+F11+D12+E12</f>
        <v>921151.21132165834</v>
      </c>
    </row>
    <row r="13" spans="1:6" x14ac:dyDescent="0.25">
      <c r="A13">
        <v>2</v>
      </c>
      <c r="B13" s="4">
        <f>+IF(F12=0,0,IF(F12&lt;-$B$7,-F12+C13,B12))</f>
        <v>-88848.788678341691</v>
      </c>
      <c r="C13" s="4">
        <f t="shared" ref="C13:C23" si="0">-$B$3/12*F12</f>
        <v>-9211.5121132165841</v>
      </c>
      <c r="D13" s="4">
        <f t="shared" ref="D13:D23" si="1">+B13-C13</f>
        <v>-79637.27656512511</v>
      </c>
      <c r="E13" s="4"/>
      <c r="F13" s="4">
        <f t="shared" ref="F13:F23" si="2">+F12+D13+E13</f>
        <v>841513.93475653324</v>
      </c>
    </row>
    <row r="14" spans="1:6" x14ac:dyDescent="0.25">
      <c r="A14">
        <v>3</v>
      </c>
      <c r="B14" s="4">
        <f t="shared" ref="B14:B23" si="3">+IF(F13=0,0,IF(F13&lt;-$B$7,-F13+C14,B13))</f>
        <v>-88848.788678341691</v>
      </c>
      <c r="C14" s="4">
        <f t="shared" si="0"/>
        <v>-8415.1393475653331</v>
      </c>
      <c r="D14" s="4">
        <f t="shared" si="1"/>
        <v>-80433.649330776359</v>
      </c>
      <c r="E14" s="4"/>
      <c r="F14" s="4">
        <f t="shared" si="2"/>
        <v>761080.28542575683</v>
      </c>
    </row>
    <row r="15" spans="1:6" x14ac:dyDescent="0.25">
      <c r="A15">
        <v>4</v>
      </c>
      <c r="B15" s="4">
        <f t="shared" si="3"/>
        <v>-88848.788678341691</v>
      </c>
      <c r="C15" s="4">
        <f t="shared" si="0"/>
        <v>-7610.8028542575685</v>
      </c>
      <c r="D15" s="4">
        <f t="shared" si="1"/>
        <v>-81237.985824084128</v>
      </c>
      <c r="E15" s="4">
        <v>-300000</v>
      </c>
      <c r="F15" s="4">
        <f t="shared" si="2"/>
        <v>379842.29960167268</v>
      </c>
    </row>
    <row r="16" spans="1:6" x14ac:dyDescent="0.25">
      <c r="A16">
        <v>5</v>
      </c>
      <c r="B16" s="4">
        <f t="shared" si="3"/>
        <v>-88848.788678341691</v>
      </c>
      <c r="C16" s="4">
        <f t="shared" si="0"/>
        <v>-3798.4229960167268</v>
      </c>
      <c r="D16" s="4">
        <f t="shared" si="1"/>
        <v>-85050.365682324962</v>
      </c>
      <c r="E16" s="4"/>
      <c r="F16" s="4">
        <f t="shared" si="2"/>
        <v>294791.93391934771</v>
      </c>
    </row>
    <row r="17" spans="1:6" x14ac:dyDescent="0.25">
      <c r="A17">
        <v>6</v>
      </c>
      <c r="B17" s="4">
        <f t="shared" si="3"/>
        <v>-88848.788678341691</v>
      </c>
      <c r="C17" s="4">
        <f t="shared" si="0"/>
        <v>-2947.9193391934773</v>
      </c>
      <c r="D17" s="4">
        <f t="shared" si="1"/>
        <v>-85900.869339148208</v>
      </c>
      <c r="E17" s="4"/>
      <c r="F17" s="4">
        <f t="shared" si="2"/>
        <v>208891.06458019948</v>
      </c>
    </row>
    <row r="18" spans="1:6" x14ac:dyDescent="0.25">
      <c r="A18">
        <v>7</v>
      </c>
      <c r="B18" s="4">
        <f t="shared" si="3"/>
        <v>-88848.788678341691</v>
      </c>
      <c r="C18" s="4">
        <f t="shared" si="0"/>
        <v>-2088.9106458019951</v>
      </c>
      <c r="D18" s="4">
        <f t="shared" si="1"/>
        <v>-86759.878032539695</v>
      </c>
      <c r="E18" s="4"/>
      <c r="F18" s="4">
        <f t="shared" si="2"/>
        <v>122131.18654765979</v>
      </c>
    </row>
    <row r="19" spans="1:6" x14ac:dyDescent="0.25">
      <c r="A19">
        <v>8</v>
      </c>
      <c r="B19" s="4">
        <f t="shared" si="3"/>
        <v>-88848.788678341691</v>
      </c>
      <c r="C19" s="4">
        <f t="shared" si="0"/>
        <v>-1221.3118654765979</v>
      </c>
      <c r="D19" s="4">
        <f t="shared" si="1"/>
        <v>-87627.47681286509</v>
      </c>
      <c r="E19" s="4"/>
      <c r="F19" s="4">
        <f t="shared" si="2"/>
        <v>34503.709734794698</v>
      </c>
    </row>
    <row r="20" spans="1:6" x14ac:dyDescent="0.25">
      <c r="A20">
        <v>9</v>
      </c>
      <c r="B20" s="4">
        <f t="shared" si="3"/>
        <v>-34848.746832142642</v>
      </c>
      <c r="C20" s="4">
        <f t="shared" si="0"/>
        <v>-345.037097347947</v>
      </c>
      <c r="D20" s="4">
        <f t="shared" si="1"/>
        <v>-34503.709734794698</v>
      </c>
      <c r="E20" s="4"/>
      <c r="F20" s="4">
        <f t="shared" si="2"/>
        <v>0</v>
      </c>
    </row>
    <row r="21" spans="1:6" x14ac:dyDescent="0.25">
      <c r="A21">
        <v>10</v>
      </c>
      <c r="B21" s="4">
        <f t="shared" si="3"/>
        <v>0</v>
      </c>
      <c r="C21" s="4">
        <f t="shared" si="0"/>
        <v>0</v>
      </c>
      <c r="D21" s="4">
        <f t="shared" si="1"/>
        <v>0</v>
      </c>
      <c r="E21" s="4"/>
      <c r="F21" s="4">
        <f t="shared" si="2"/>
        <v>0</v>
      </c>
    </row>
    <row r="22" spans="1:6" x14ac:dyDescent="0.25">
      <c r="A22">
        <v>11</v>
      </c>
      <c r="B22" s="4">
        <f t="shared" si="3"/>
        <v>0</v>
      </c>
      <c r="C22" s="4">
        <f t="shared" si="0"/>
        <v>0</v>
      </c>
      <c r="D22" s="4">
        <f t="shared" si="1"/>
        <v>0</v>
      </c>
      <c r="E22" s="4"/>
      <c r="F22" s="4">
        <f t="shared" si="2"/>
        <v>0</v>
      </c>
    </row>
    <row r="23" spans="1:6" x14ac:dyDescent="0.25">
      <c r="A23">
        <v>12</v>
      </c>
      <c r="B23" s="4">
        <f t="shared" si="3"/>
        <v>0</v>
      </c>
      <c r="C23" s="4">
        <f t="shared" si="0"/>
        <v>0</v>
      </c>
      <c r="D23" s="4">
        <f t="shared" si="1"/>
        <v>0</v>
      </c>
      <c r="E23" s="4"/>
      <c r="F23" s="4">
        <f t="shared" si="2"/>
        <v>0</v>
      </c>
    </row>
    <row r="24" spans="1:6" x14ac:dyDescent="0.25">
      <c r="B24" s="4"/>
      <c r="C24" s="4"/>
      <c r="D24" s="4"/>
      <c r="E24" s="4"/>
      <c r="F24" s="4"/>
    </row>
    <row r="25" spans="1:6" x14ac:dyDescent="0.25">
      <c r="B25" s="4"/>
      <c r="C25" s="4"/>
      <c r="D25" s="4"/>
      <c r="E25" s="4"/>
      <c r="F25" s="4"/>
    </row>
    <row r="26" spans="1:6" x14ac:dyDescent="0.25">
      <c r="B26" s="4"/>
      <c r="C26" s="4"/>
      <c r="D26" s="4"/>
      <c r="E26" s="4"/>
      <c r="F26" s="4"/>
    </row>
    <row r="27" spans="1:6" x14ac:dyDescent="0.25">
      <c r="B27" s="4"/>
      <c r="C27" s="4"/>
      <c r="D27" s="4"/>
      <c r="E27" s="4"/>
      <c r="F27" s="4"/>
    </row>
    <row r="28" spans="1:6" x14ac:dyDescent="0.25">
      <c r="B28" s="4"/>
      <c r="C28" s="4"/>
      <c r="D28" s="4"/>
      <c r="E28" s="4"/>
      <c r="F28" s="4"/>
    </row>
    <row r="29" spans="1:6" x14ac:dyDescent="0.25">
      <c r="B29" s="4"/>
      <c r="C29" s="4"/>
      <c r="D29" s="4"/>
      <c r="E29" s="4"/>
      <c r="F29" s="4"/>
    </row>
    <row r="30" spans="1:6" x14ac:dyDescent="0.25">
      <c r="B30" s="4"/>
      <c r="C30" s="4"/>
      <c r="D30" s="4"/>
      <c r="E30" s="4"/>
      <c r="F30" s="4"/>
    </row>
    <row r="31" spans="1:6" x14ac:dyDescent="0.25">
      <c r="B31" s="4"/>
      <c r="C31" s="4"/>
      <c r="D31" s="4"/>
      <c r="E31" s="4"/>
      <c r="F31" s="4"/>
    </row>
    <row r="32" spans="1:6" x14ac:dyDescent="0.25">
      <c r="B32" s="4"/>
      <c r="C32" s="4"/>
      <c r="D32" s="4"/>
      <c r="E32" s="4"/>
      <c r="F32" s="4"/>
    </row>
    <row r="33" spans="2:6" x14ac:dyDescent="0.25">
      <c r="B33" s="4"/>
      <c r="C33" s="4"/>
      <c r="D33" s="4"/>
      <c r="E33" s="4"/>
      <c r="F33" s="4"/>
    </row>
    <row r="34" spans="2:6" x14ac:dyDescent="0.25">
      <c r="B34" s="4"/>
      <c r="C34" s="4"/>
      <c r="D34" s="4"/>
      <c r="E34" s="4"/>
      <c r="F34" s="4"/>
    </row>
    <row r="35" spans="2:6" x14ac:dyDescent="0.25">
      <c r="B35" s="4"/>
      <c r="C35" s="4"/>
      <c r="D35" s="4"/>
      <c r="E35" s="4"/>
      <c r="F35" s="4"/>
    </row>
  </sheetData>
  <conditionalFormatting sqref="F11:F1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{1C3369FB-90E3-40A8-A548-1342B8987BE2}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3369FB-90E3-40A8-A548-1342B8987B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F11:F19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Админ</cp:lastModifiedBy>
  <dcterms:created xsi:type="dcterms:W3CDTF">2026-02-17T12:26:19Z</dcterms:created>
  <dcterms:modified xsi:type="dcterms:W3CDTF">2026-02-23T06:14:56Z</dcterms:modified>
</cp:coreProperties>
</file>