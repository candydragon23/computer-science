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gans2\Desktop\"/>
    </mc:Choice>
  </mc:AlternateContent>
  <bookViews>
    <workbookView xWindow="0" yWindow="0" windowWidth="23040" windowHeight="9264" activeTab="1"/>
  </bookViews>
  <sheets>
    <sheet name="Функции оболочки" sheetId="1" r:id="rId1"/>
    <sheet name="VBA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B3" i="1"/>
  <c r="C3" i="1"/>
  <c r="B4" i="1"/>
  <c r="C4" i="1"/>
  <c r="B5" i="1"/>
  <c r="C5" i="1"/>
  <c r="B6" i="1"/>
  <c r="C6" i="1"/>
  <c r="B7" i="1"/>
  <c r="C7" i="1"/>
  <c r="B8" i="1"/>
  <c r="B9" i="1"/>
  <c r="C9" i="1"/>
  <c r="B10" i="1"/>
  <c r="C10" i="1"/>
  <c r="B11" i="1"/>
  <c r="C11" i="1"/>
  <c r="B12" i="1"/>
  <c r="C12" i="1"/>
  <c r="B13" i="1"/>
  <c r="C13" i="1"/>
  <c r="C2" i="1"/>
  <c r="B2" i="1"/>
  <c r="C15" i="1" l="1"/>
  <c r="B15" i="1"/>
  <c r="D5" i="1"/>
  <c r="E5" i="1" s="1"/>
  <c r="D3" i="1"/>
  <c r="E3" i="1" s="1"/>
  <c r="D2" i="1"/>
  <c r="D8" i="1"/>
  <c r="E8" i="1" s="1"/>
  <c r="D11" i="1"/>
  <c r="E11" i="1" s="1"/>
  <c r="D10" i="1"/>
  <c r="E10" i="1" s="1"/>
  <c r="D12" i="1"/>
  <c r="E12" i="1" s="1"/>
  <c r="D13" i="1"/>
  <c r="E13" i="1" s="1"/>
  <c r="D9" i="1"/>
  <c r="E9" i="1" s="1"/>
  <c r="D4" i="1"/>
  <c r="E4" i="1" s="1"/>
  <c r="D7" i="1"/>
  <c r="E7" i="1" s="1"/>
  <c r="D6" i="1"/>
  <c r="E6" i="1" s="1"/>
  <c r="B16" i="1" l="1"/>
  <c r="B17" i="1" s="1"/>
  <c r="E2" i="1"/>
  <c r="E15" i="1" s="1"/>
  <c r="D15" i="1"/>
</calcChain>
</file>

<file path=xl/sharedStrings.xml><?xml version="1.0" encoding="utf-8"?>
<sst xmlns="http://schemas.openxmlformats.org/spreadsheetml/2006/main" count="39" uniqueCount="20">
  <si>
    <t>доход</t>
  </si>
  <si>
    <t>расход</t>
  </si>
  <si>
    <t>налог</t>
  </si>
  <si>
    <t>прибыль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</si>
  <si>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</si>
  <si>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</si>
  <si>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</si>
  <si>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</si>
  <si>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</si>
  <si>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</si>
  <si>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</si>
  <si>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</si>
  <si>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</si>
  <si>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</si>
  <si>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</si>
  <si>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</si>
  <si>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Макс прибыль</t>
  </si>
  <si>
    <t>Макс месяц</t>
  </si>
  <si>
    <t>Итого:</t>
  </si>
  <si>
    <t>Итог: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</si>
</sst>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D36868"/>
        <bgColor indexed="64"/>
      </patternFill>
    </fill>
    <fill>
      <patternFill patternType="solid">
        <fgColor rgb="FFDDDDD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4" borderId="1" xfId="0" applyFill="1" applyBorder="1" applyProtection="1">
      <protection locked="0"/>
    </xf>
    <xf numFmtId="0" fontId="1" fillId="2" borderId="0" xfId="0" applyFont="1" applyFill="1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0" fillId="3" borderId="1" xfId="0" applyFill="1" applyBorder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Прибыль</a:t>
            </a:r>
            <a:r>
              <a:rPr lang="ru-RU" baseline="0"/>
              <a:t> по месяцам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'Функции оболочки'!$A$2:$A$13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'Функции оболочки'!$D$2:$D$13</c:f>
              <c:numCache>
                <c:formatCode>General</c:formatCode>
                <c:ptCount val="12"/>
                <c:pt idx="0">
                  <c:v>-418</c:v>
                </c:pt>
                <c:pt idx="1">
                  <c:v>443</c:v>
                </c:pt>
                <c:pt idx="2">
                  <c:v>662</c:v>
                </c:pt>
                <c:pt idx="3">
                  <c:v>3</c:v>
                </c:pt>
                <c:pt idx="4">
                  <c:v>480</c:v>
                </c:pt>
                <c:pt idx="5">
                  <c:v>192</c:v>
                </c:pt>
                <c:pt idx="6">
                  <c:v>-696</c:v>
                </c:pt>
                <c:pt idx="7">
                  <c:v>313</c:v>
                </c:pt>
                <c:pt idx="8">
                  <c:v>756</c:v>
                </c:pt>
                <c:pt idx="9">
                  <c:v>-758</c:v>
                </c:pt>
                <c:pt idx="10">
                  <c:v>-293</c:v>
                </c:pt>
                <c:pt idx="11">
                  <c:v>624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5665344"/>
        <c:axId val="-2005664800"/>
      </c:scatterChart>
      <c:valAx>
        <c:axId val="-200566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Месяц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005664800"/>
        <c:crosses val="autoZero"/>
        <c:crossBetween val="midCat"/>
      </c:valAx>
      <c:valAx>
        <c:axId val="-200566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Прибыль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00566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Прибыль</a:t>
            </a:r>
            <a:r>
              <a:rPr lang="ru-RU" baseline="0"/>
              <a:t> по месяцам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VBA!$D$2:$D$13</c:f>
              <c:numCache>
                <c:formatCode>General</c:formatCode>
                <c:ptCount val="12"/>
                <c:pt idx="0">
                  <c:v>-227</c:v>
                </c:pt>
                <c:pt idx="1">
                  <c:v>-683</c:v>
                </c:pt>
                <c:pt idx="2">
                  <c:v>379</c:v>
                </c:pt>
                <c:pt idx="3">
                  <c:v>114</c:v>
                </c:pt>
                <c:pt idx="4">
                  <c:v>158</c:v>
                </c:pt>
                <c:pt idx="5">
                  <c:v>-720</c:v>
                </c:pt>
                <c:pt idx="6">
                  <c:v>154</c:v>
                </c:pt>
                <c:pt idx="7">
                  <c:v>809</c:v>
                </c:pt>
                <c:pt idx="8">
                  <c:v>14</c:v>
                </c:pt>
                <c:pt idx="9">
                  <c:v>887</c:v>
                </c:pt>
                <c:pt idx="10">
                  <c:v>809</c:v>
                </c:pt>
                <c:pt idx="11">
                  <c:v>-573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5664256"/>
        <c:axId val="-2081661648"/>
      </c:scatterChart>
      <c:valAx>
        <c:axId val="-200566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Месяц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081661648"/>
        <c:crosses val="autoZero"/>
        <c:crossBetween val="midCat"/>
      </c:valAx>
      <c:valAx>
        <c:axId val="-20816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Прибыль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00566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0</xdr:row>
      <xdr:rowOff>45720</xdr:rowOff>
    </xdr:from>
    <xdr:to>
      <xdr:col>12</xdr:col>
      <xdr:colOff>533400</xdr:colOff>
      <xdr:row>15</xdr:row>
      <xdr:rowOff>45720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137160</xdr:colOff>
      <xdr:row>0</xdr:row>
      <xdr:rowOff>30480</xdr:rowOff>
    </xdr:from>
    <xdr:to>
      <xdr:col>12</xdr:col>
      <xdr:colOff>441960</xdr:colOff>
      <xdr:row>15</xdr:row>
      <xdr:rowOff>30480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7"/>
  <sheetViews>
    <sheetView workbookViewId="0">
      <selection activeCell="G23" sqref="G23"/>
    </sheetView>
  </sheetViews>
  <sheetFormatPr defaultRowHeight="14.4" x14ac:dyDescent="0.3"/>
  <cols>
    <col min="1" max="1" width="14" customWidth="1"/>
  </cols>
  <sheetData>
    <row r="1" spans="1:5" x14ac:dyDescent="0.3">
      <c r="A1" s="1"/>
      <c r="B1" s="1" t="s">
        <v>0</v>
      </c>
      <c r="C1" s="1" t="s">
        <v>1</v>
      </c>
      <c r="D1" s="1" t="s">
        <v>3</v>
      </c>
      <c r="E1" s="1" t="s">
        <v>2</v>
      </c>
    </row>
    <row r="2" spans="1:5" x14ac:dyDescent="0.3">
      <c r="A2" s="1" t="s">
        <v>4</v>
      </c>
      <c r="B2" s="3">
        <f ca="1">RANDBETWEEN(0, 1000)</f>
        <v>80</v>
      </c>
      <c r="C2" s="3">
        <f ca="1">RANDBETWEEN(0, 1000)</f>
        <v>498</v>
      </c>
      <c r="D2" s="2">
        <f t="shared" ref="D2:D13" ca="1" si="0">B2-C2</f>
        <v>-418</v>
      </c>
      <c r="E2" s="2">
        <f t="shared" ref="E2:E13" ca="1" si="1">IF(D2&gt;0,D2*0.13,0)</f>
        <v>0</v>
      </c>
    </row>
    <row r="3" spans="1:5" x14ac:dyDescent="0.3">
      <c r="A3" s="1" t="s">
        <v>5</v>
      </c>
      <c r="B3" s="3">
        <f t="shared" ref="B3:C13" ca="1" si="2">RANDBETWEEN(0, 1000)</f>
        <v>476</v>
      </c>
      <c r="C3" s="3">
        <f t="shared" ca="1" si="2"/>
        <v>33</v>
      </c>
      <c r="D3" s="2">
        <f t="shared" ca="1" si="0"/>
        <v>443</v>
      </c>
      <c r="E3" s="2">
        <f t="shared" ca="1" si="1"/>
        <v>57.59</v>
      </c>
    </row>
    <row r="4" spans="1:5" x14ac:dyDescent="0.3">
      <c r="A4" s="1" t="s">
        <v>6</v>
      </c>
      <c r="B4" s="3">
        <f t="shared" ca="1" si="2"/>
        <v>694</v>
      </c>
      <c r="C4" s="3">
        <f t="shared" ca="1" si="2"/>
        <v>32</v>
      </c>
      <c r="D4" s="2">
        <f t="shared" ca="1" si="0"/>
        <v>662</v>
      </c>
      <c r="E4" s="2">
        <f t="shared" ca="1" si="1"/>
        <v>86.06</v>
      </c>
    </row>
    <row r="5" spans="1:5" x14ac:dyDescent="0.3">
      <c r="A5" s="1" t="s">
        <v>7</v>
      </c>
      <c r="B5" s="3">
        <f t="shared" ca="1" si="2"/>
        <v>580</v>
      </c>
      <c r="C5" s="3">
        <f t="shared" ca="1" si="2"/>
        <v>577</v>
      </c>
      <c r="D5" s="2">
        <f t="shared" ca="1" si="0"/>
        <v>3</v>
      </c>
      <c r="E5" s="2">
        <f t="shared" ca="1" si="1"/>
        <v>0.39</v>
      </c>
    </row>
    <row r="6" spans="1:5" x14ac:dyDescent="0.3">
      <c r="A6" s="1" t="s">
        <v>8</v>
      </c>
      <c r="B6" s="3">
        <f t="shared" ca="1" si="2"/>
        <v>834</v>
      </c>
      <c r="C6" s="3">
        <f t="shared" ca="1" si="2"/>
        <v>354</v>
      </c>
      <c r="D6" s="2">
        <f t="shared" ca="1" si="0"/>
        <v>480</v>
      </c>
      <c r="E6" s="2">
        <f t="shared" ca="1" si="1"/>
        <v>62.400000000000006</v>
      </c>
    </row>
    <row r="7" spans="1:5" x14ac:dyDescent="0.3">
      <c r="A7" s="1" t="s">
        <v>9</v>
      </c>
      <c r="B7" s="3">
        <f t="shared" ca="1" si="2"/>
        <v>559</v>
      </c>
      <c r="C7" s="3">
        <f t="shared" ca="1" si="2"/>
        <v>367</v>
      </c>
      <c r="D7" s="2">
        <f t="shared" ca="1" si="0"/>
        <v>192</v>
      </c>
      <c r="E7" s="2">
        <f t="shared" ca="1" si="1"/>
        <v>24.96</v>
      </c>
    </row>
    <row r="8" spans="1:5" x14ac:dyDescent="0.3">
      <c r="A8" s="1" t="s">
        <v>10</v>
      </c>
      <c r="B8" s="3">
        <f t="shared" ca="1" si="2"/>
        <v>31</v>
      </c>
      <c r="C8" s="3">
        <f ca="1">RANDBETWEEN(0, 1000)</f>
        <v>727</v>
      </c>
      <c r="D8" s="2">
        <f t="shared" ca="1" si="0"/>
        <v>-696</v>
      </c>
      <c r="E8" s="2">
        <f t="shared" ca="1" si="1"/>
        <v>0</v>
      </c>
    </row>
    <row r="9" spans="1:5" x14ac:dyDescent="0.3">
      <c r="A9" s="1" t="s">
        <v>11</v>
      </c>
      <c r="B9" s="3">
        <f t="shared" ca="1" si="2"/>
        <v>520</v>
      </c>
      <c r="C9" s="3">
        <f t="shared" ca="1" si="2"/>
        <v>207</v>
      </c>
      <c r="D9" s="2">
        <f t="shared" ca="1" si="0"/>
        <v>313</v>
      </c>
      <c r="E9" s="2">
        <f t="shared" ca="1" si="1"/>
        <v>40.690000000000005</v>
      </c>
    </row>
    <row r="10" spans="1:5" x14ac:dyDescent="0.3">
      <c r="A10" s="1" t="s">
        <v>12</v>
      </c>
      <c r="B10" s="3">
        <f t="shared" ca="1" si="2"/>
        <v>936</v>
      </c>
      <c r="C10" s="3">
        <f t="shared" ca="1" si="2"/>
        <v>180</v>
      </c>
      <c r="D10" s="2">
        <f t="shared" ca="1" si="0"/>
        <v>756</v>
      </c>
      <c r="E10" s="2">
        <f t="shared" ca="1" si="1"/>
        <v>98.28</v>
      </c>
    </row>
    <row r="11" spans="1:5" x14ac:dyDescent="0.3">
      <c r="A11" s="1" t="s">
        <v>13</v>
      </c>
      <c r="B11" s="3">
        <f t="shared" ca="1" si="2"/>
        <v>26</v>
      </c>
      <c r="C11" s="3">
        <f t="shared" ca="1" si="2"/>
        <v>784</v>
      </c>
      <c r="D11" s="2">
        <f t="shared" ca="1" si="0"/>
        <v>-758</v>
      </c>
      <c r="E11" s="2">
        <f t="shared" ca="1" si="1"/>
        <v>0</v>
      </c>
    </row>
    <row r="12" spans="1:5" x14ac:dyDescent="0.3">
      <c r="A12" s="1" t="s">
        <v>14</v>
      </c>
      <c r="B12" s="3">
        <f t="shared" ca="1" si="2"/>
        <v>504</v>
      </c>
      <c r="C12" s="3">
        <f t="shared" ca="1" si="2"/>
        <v>797</v>
      </c>
      <c r="D12" s="2">
        <f t="shared" ca="1" si="0"/>
        <v>-293</v>
      </c>
      <c r="E12" s="2">
        <f t="shared" ca="1" si="1"/>
        <v>0</v>
      </c>
    </row>
    <row r="13" spans="1:5" x14ac:dyDescent="0.3">
      <c r="A13" s="1" t="s">
        <v>15</v>
      </c>
      <c r="B13" s="3">
        <f t="shared" ca="1" si="2"/>
        <v>809</v>
      </c>
      <c r="C13" s="3">
        <f t="shared" ca="1" si="2"/>
        <v>185</v>
      </c>
      <c r="D13" s="2">
        <f t="shared" ca="1" si="0"/>
        <v>624</v>
      </c>
      <c r="E13" s="2">
        <f t="shared" ca="1" si="1"/>
        <v>81.12</v>
      </c>
    </row>
    <row r="15" spans="1:5" x14ac:dyDescent="0.3">
      <c r="A15" s="4" t="s">
        <v>18</v>
      </c>
      <c r="B15" s="5">
        <f ca="1">SUM(B2:B13)</f>
        <v>6049</v>
      </c>
      <c r="C15" s="5">
        <f t="shared" ref="C15" ca="1" si="3">SUM(C2:C13)</f>
        <v>4741</v>
      </c>
      <c r="D15" s="5">
        <f ca="1">SUM(D2:D13)</f>
        <v>1308</v>
      </c>
      <c r="E15" s="5">
        <f ca="1">SUM(E2:E13)</f>
        <v>451.49</v>
      </c>
    </row>
    <row r="16" spans="1:5" x14ac:dyDescent="0.3">
      <c r="A16" s="4" t="s">
        <v>16</v>
      </c>
      <c r="B16" s="5">
        <f ca="1">MAX(D2:D13)</f>
        <v>756</v>
      </c>
      <c r="C16" s="6"/>
      <c r="D16" s="6"/>
      <c r="E16" s="6"/>
    </row>
    <row r="17" spans="1:5" x14ac:dyDescent="0.3">
      <c r="A17" s="4" t="s">
        <v>17</v>
      </c>
      <c r="B17" s="7" t="str">
        <f ca="1">INDEX(A1:A13,MATCH(B16,D1:D13,0))</f>
        <v>сентябрь</v>
      </c>
      <c r="C17" s="6"/>
      <c r="D17" s="6"/>
      <c r="E17" s="6"/>
    </row>
  </sheetData>
  <sheetProtection sheet="1" objects="1" scenarios="1"/>
  <conditionalFormatting sqref="D1:D14 D16:D1048576">
    <cfRule type="cellIs" dxfId="0" priority="1" operator="lessThan">
      <formula>0</formula>
    </cfRule>
  </conditionalFormatting>
  <dataValidations count="2">
    <dataValidation type="decimal" operator="greaterThanOrEqual" allowBlank="1" showInputMessage="1" showErrorMessage="1" promptTitle="Ввод данных" prompt="Вводите неотрицательные числа" sqref="B2:B13 C2:C7 C9:C13">
      <formula1>0</formula1>
    </dataValidation>
    <dataValidation type="decimal" operator="greaterThanOrEqual" allowBlank="1" showInputMessage="1" showErrorMessage="1" errorTitle="Неправильные данные" error="Необходимо ввести неотрицательные числа" promptTitle="Ввод данных" prompt="Вводите неотрицательные числа" sqref="C8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7"/>
  <sheetViews>
    <sheetView tabSelected="1" workbookViewId="0">
      <selection activeCell="H21" sqref="H21"/>
    </sheetView>
  </sheetViews>
  <sheetFormatPr defaultRowHeight="14.4" x14ac:dyDescent="0.3"/>
  <cols>
    <col min="1" max="1" width="16.109375" customWidth="1"/>
  </cols>
  <sheetData>
    <row r="1" spans="1:5" x14ac:dyDescent="0.3">
      <c r="A1" s="1"/>
      <c r="B1" s="1" t="s">
        <v>0</v>
      </c>
      <c r="C1" s="1" t="s">
        <v>1</v>
      </c>
      <c r="D1" s="1" t="s">
        <v>3</v>
      </c>
      <c r="E1" s="1" t="s">
        <v>2</v>
      </c>
    </row>
    <row r="2" spans="1:5" x14ac:dyDescent="0.3">
      <c r="A2" s="1" t="s">
        <v>4</v>
      </c>
      <c r="B2" s="3">
        <v>469</v>
      </c>
      <c r="C2" s="3">
        <v>696</v>
      </c>
      <c r="D2" s="8">
        <v>-227</v>
      </c>
      <c r="E2" s="2">
        <v>0</v>
      </c>
    </row>
    <row r="3" spans="1:5" x14ac:dyDescent="0.3">
      <c r="A3" s="1" t="s">
        <v>5</v>
      </c>
      <c r="B3" s="3">
        <v>298</v>
      </c>
      <c r="C3" s="3">
        <v>981</v>
      </c>
      <c r="D3" s="8">
        <v>-683</v>
      </c>
      <c r="E3" s="2">
        <v>0</v>
      </c>
    </row>
    <row r="4" spans="1:5" x14ac:dyDescent="0.3">
      <c r="A4" s="1" t="s">
        <v>6</v>
      </c>
      <c r="B4" s="3">
        <v>623</v>
      </c>
      <c r="C4" s="3">
        <v>244</v>
      </c>
      <c r="D4" s="2">
        <v>379</v>
      </c>
      <c r="E4" s="2">
        <v>49.27</v>
      </c>
    </row>
    <row r="5" spans="1:5" x14ac:dyDescent="0.3">
      <c r="A5" s="1" t="s">
        <v>7</v>
      </c>
      <c r="B5" s="3">
        <v>648</v>
      </c>
      <c r="C5" s="3">
        <v>534</v>
      </c>
      <c r="D5" s="2">
        <v>114</v>
      </c>
      <c r="E5" s="2">
        <v>14.82</v>
      </c>
    </row>
    <row r="6" spans="1:5" x14ac:dyDescent="0.3">
      <c r="A6" s="1" t="s">
        <v>8</v>
      </c>
      <c r="B6" s="3">
        <v>264</v>
      </c>
      <c r="C6" s="3">
        <v>106</v>
      </c>
      <c r="D6" s="2">
        <v>158</v>
      </c>
      <c r="E6" s="2">
        <v>20.54</v>
      </c>
    </row>
    <row r="7" spans="1:5" x14ac:dyDescent="0.3">
      <c r="A7" s="1" t="s">
        <v>9</v>
      </c>
      <c r="B7" s="3">
        <v>280</v>
      </c>
      <c r="C7" s="3">
        <v>1000</v>
      </c>
      <c r="D7" s="8">
        <v>-720</v>
      </c>
      <c r="E7" s="2">
        <v>0</v>
      </c>
    </row>
    <row r="8" spans="1:5" x14ac:dyDescent="0.3">
      <c r="A8" s="1" t="s">
        <v>10</v>
      </c>
      <c r="B8" s="3">
        <v>831</v>
      </c>
      <c r="C8" s="3">
        <v>677</v>
      </c>
      <c r="D8" s="2">
        <v>154</v>
      </c>
      <c r="E8" s="2">
        <v>20.02</v>
      </c>
    </row>
    <row r="9" spans="1:5" x14ac:dyDescent="0.3">
      <c r="A9" s="1" t="s">
        <v>11</v>
      </c>
      <c r="B9" s="3">
        <v>825</v>
      </c>
      <c r="C9" s="3">
        <v>16</v>
      </c>
      <c r="D9" s="2">
        <v>809</v>
      </c>
      <c r="E9" s="2">
        <v>105.17</v>
      </c>
    </row>
    <row r="10" spans="1:5" x14ac:dyDescent="0.3">
      <c r="A10" s="1" t="s">
        <v>12</v>
      </c>
      <c r="B10" s="3">
        <v>590</v>
      </c>
      <c r="C10" s="3">
        <v>576</v>
      </c>
      <c r="D10" s="2">
        <v>14</v>
      </c>
      <c r="E10" s="2">
        <v>1.82</v>
      </c>
    </row>
    <row r="11" spans="1:5" x14ac:dyDescent="0.3">
      <c r="A11" s="1" t="s">
        <v>13</v>
      </c>
      <c r="B11" s="3">
        <v>987</v>
      </c>
      <c r="C11" s="3">
        <v>100</v>
      </c>
      <c r="D11" s="2">
        <v>887</v>
      </c>
      <c r="E11" s="2">
        <v>115.31</v>
      </c>
    </row>
    <row r="12" spans="1:5" x14ac:dyDescent="0.3">
      <c r="A12" s="1" t="s">
        <v>14</v>
      </c>
      <c r="B12" s="3">
        <v>912</v>
      </c>
      <c r="C12" s="3">
        <v>103</v>
      </c>
      <c r="D12" s="2">
        <v>809</v>
      </c>
      <c r="E12" s="2">
        <v>105.17</v>
      </c>
    </row>
    <row r="13" spans="1:5" x14ac:dyDescent="0.3">
      <c r="A13" s="1" t="s">
        <v>15</v>
      </c>
      <c r="B13" s="3">
        <v>227</v>
      </c>
      <c r="C13" s="3">
        <v>800</v>
      </c>
      <c r="D13" s="8">
        <v>-573</v>
      </c>
      <c r="E13" s="2">
        <v>0</v>
      </c>
    </row>
    <row r="15" spans="1:5" x14ac:dyDescent="0.3">
      <c r="A15" s="4" t="s">
        <v>19</v>
      </c>
      <c r="B15" s="5">
        <v>6954</v>
      </c>
      <c r="C15" s="5">
        <v>5833</v>
      </c>
      <c r="D15" s="5">
        <v>1121</v>
      </c>
      <c r="E15" s="5">
        <v>432.12</v>
      </c>
    </row>
    <row r="16" spans="1:5" x14ac:dyDescent="0.3">
      <c r="A16" s="4" t="s">
        <v>16</v>
      </c>
      <c r="B16" s="5">
        <v>887</v>
      </c>
      <c r="C16" s="5"/>
      <c r="D16" s="5"/>
      <c r="E16" s="5"/>
    </row>
    <row r="17" spans="1:5" x14ac:dyDescent="0.3">
      <c r="A17" s="4" t="s">
        <v>17</v>
      </c>
      <c r="B17" s="7" t="s">
        <v>13</v>
      </c>
      <c r="C17" s="5"/>
      <c r="D17" s="5"/>
      <c r="E17" s="5"/>
    </row>
  </sheetData>
  <sheetProtection sheet="1" objects="1" scenarios="1"/>
  <dataValidations count="1">
    <dataValidation type="decimal" operator="greaterThanOrEqual" allowBlank="1" showInputMessage="1" showErrorMessage="1" errorTitle="Неправильный ввод" error="Введите неотрицательные числа" promptTitle="Введите данные" prompt="Вводите неотрицательные числа" sqref="B2:C13">
      <formula1>0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Функции оболочки</vt:lpstr>
      <vt:lpstr>VBA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Сатин</dc:creator>
  <cp:lastModifiedBy>Роман Сатин</cp:lastModifiedBy>
  <dcterms:created xsi:type="dcterms:W3CDTF">2025-11-15T07:38:36Z</dcterms:created>
  <dcterms:modified xsi:type="dcterms:W3CDTF">2025-11-16T09:48:22Z</dcterms:modified>
</cp:coreProperties>
</file>