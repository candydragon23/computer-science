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workbookProtection lockStructure="1"/>
  <bookViews>
    <workbookView xWindow="0" yWindow="0" windowWidth="23040" windowHeight="9252"/>
  </bookViews>
  <sheets>
    <sheet name="Функции оболочки" sheetId="1" r:id="rId1"/>
  </sheets>
  <calcPr calcId="152511"/>
</workbook>
</file>

<file path=xl/calcChain.xml><?xml version="1.0" encoding="utf-8"?>
<calcChain xmlns="http://schemas.openxmlformats.org/spreadsheetml/2006/main">
  <c r="D8" i="1" l="1"/>
  <c r="C9" i="1"/>
  <c r="D10" i="1" l="1"/>
  <c r="D9" i="1"/>
  <c r="D7" i="1"/>
  <c r="D6" i="1"/>
  <c r="D5" i="1"/>
  <c r="D4" i="1"/>
  <c r="C10" i="1"/>
  <c r="C8" i="1"/>
  <c r="C7" i="1"/>
  <c r="C6" i="1"/>
  <c r="C5" i="1"/>
  <c r="C4" i="1"/>
  <c r="D11" i="1" l="1"/>
  <c r="C11" i="1"/>
  <c r="E9" i="1"/>
  <c r="F9" i="1" s="1"/>
  <c r="E6" i="1"/>
  <c r="E8" i="1"/>
  <c r="E7" i="1"/>
  <c r="E5" i="1"/>
  <c r="E10" i="1"/>
  <c r="E4" i="1"/>
  <c r="E11" i="1" l="1"/>
  <c r="G9" i="1"/>
  <c r="H9" i="1" s="1"/>
  <c r="I9" i="1" s="1"/>
  <c r="F10" i="1"/>
  <c r="G10" i="1"/>
  <c r="F5" i="1"/>
  <c r="G5" i="1"/>
  <c r="F7" i="1"/>
  <c r="G7" i="1"/>
  <c r="F8" i="1"/>
  <c r="G8" i="1"/>
  <c r="F6" i="1"/>
  <c r="G6" i="1"/>
  <c r="F4" i="1"/>
  <c r="G4" i="1"/>
  <c r="G11" i="1" l="1"/>
  <c r="F11" i="1"/>
  <c r="H4" i="1"/>
  <c r="H6" i="1"/>
  <c r="I6" i="1" s="1"/>
  <c r="H8" i="1"/>
  <c r="I8" i="1" s="1"/>
  <c r="H7" i="1"/>
  <c r="I7" i="1" s="1"/>
  <c r="H5" i="1"/>
  <c r="I5" i="1" s="1"/>
  <c r="H10" i="1"/>
  <c r="I10" i="1" s="1"/>
  <c r="I4" i="1" l="1"/>
  <c r="I11" i="1" s="1"/>
  <c r="H11" i="1"/>
</calcChain>
</file>

<file path=xl/sharedStrings.xml><?xml version="1.0" encoding="utf-8"?>
<sst xmlns="http://schemas.openxmlformats.org/spreadsheetml/2006/main" count="17" uniqueCount="17">
  <si>
    <t>Иванов</t>
  </si>
  <si>
    <t xml:space="preserve">Петров </t>
  </si>
  <si>
    <t>Сидоров</t>
  </si>
  <si>
    <t>Смирнов</t>
  </si>
  <si>
    <t>Кузнецов</t>
  </si>
  <si>
    <t>Попов</t>
  </si>
  <si>
    <t>Савельев</t>
  </si>
  <si>
    <t>начисления</t>
  </si>
  <si>
    <t>удержания</t>
  </si>
  <si>
    <t>основное начисление</t>
  </si>
  <si>
    <t>премия</t>
  </si>
  <si>
    <t>всего начислено</t>
  </si>
  <si>
    <t>подоходный налог</t>
  </si>
  <si>
    <t>пенсионный фонд</t>
  </si>
  <si>
    <t>всего удержано</t>
  </si>
  <si>
    <t>к выдаче</t>
  </si>
  <si>
    <t>Итог: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</si>
</sst>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/>
    <xf numFmtId="0" fontId="0" fillId="2" borderId="1" xfId="0" applyFill="1" applyBorder="1"/>
    <xf numFmtId="0" fontId="0" fillId="4" borderId="3" xfId="0" applyFill="1" applyBorder="1"/>
    <xf numFmtId="0" fontId="1" fillId="0" borderId="2" xfId="0" applyFont="1" applyBorder="1"/>
    <xf numFmtId="0" fontId="1" fillId="3" borderId="9" xfId="0" applyFont="1" applyFill="1" applyBorder="1" applyAlignment="1">
      <alignment wrapText="1"/>
    </xf>
    <xf numFmtId="0" fontId="1" fillId="3" borderId="9" xfId="0" applyFont="1" applyFill="1" applyBorder="1"/>
    <xf numFmtId="0" fontId="1" fillId="2" borderId="9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0" borderId="14" xfId="0" applyFont="1" applyBorder="1"/>
    <xf numFmtId="0" fontId="0" fillId="0" borderId="15" xfId="0" applyBorder="1"/>
    <xf numFmtId="0" fontId="0" fillId="3" borderId="15" xfId="0" applyFill="1" applyBorder="1"/>
    <xf numFmtId="0" fontId="0" fillId="2" borderId="15" xfId="0" applyFill="1" applyBorder="1"/>
    <xf numFmtId="0" fontId="0" fillId="4" borderId="16" xfId="0" applyFill="1" applyBorder="1"/>
    <xf numFmtId="0" fontId="1" fillId="5" borderId="4" xfId="0" applyFont="1" applyFill="1" applyBorder="1"/>
    <xf numFmtId="0" fontId="0" fillId="5" borderId="5" xfId="0" applyFill="1" applyBorder="1"/>
    <xf numFmtId="0" fontId="0" fillId="5" borderId="6" xfId="0" applyFill="1" applyBorder="1"/>
    <xf numFmtId="0" fontId="0" fillId="0" borderId="1" xfId="0" applyBorder="1" applyProtection="1">
      <protection locked="0"/>
    </xf>
    <xf numFmtId="0" fontId="0" fillId="0" borderId="15" xfId="0" applyBorder="1" applyProtection="1">
      <protection locked="0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'Функции оболочки'!$B$4:$B$10</c:f>
              <c:strCache>
                <c:ptCount val="7"/>
                <c:pt idx="0">
                  <c:v>Иванов</c:v>
                </c:pt>
                <c:pt idx="1">
                  <c:v>Петров </c:v>
                </c:pt>
                <c:pt idx="2">
                  <c:v>Сидоров</c:v>
                </c:pt>
                <c:pt idx="3">
                  <c:v>Смирнов</c:v>
                </c:pt>
                <c:pt idx="4">
                  <c:v>Кузнецов</c:v>
                </c:pt>
                <c:pt idx="5">
                  <c:v>Попов</c:v>
                </c:pt>
                <c:pt idx="6">
                  <c:v>Савельев</c:v>
                </c:pt>
              </c:strCache>
            </c:strRef>
          </c:cat>
          <c:val>
            <c:numRef>
              <c:f>'Функции оболочки'!$I$4:$I$10</c:f>
              <c:numCache>
                <c:formatCode>General</c:formatCode>
                <c:ptCount val="7"/>
                <c:pt idx="0">
                  <c:v>12775.1</c:v>
                </c:pt>
                <c:pt idx="1">
                  <c:v>11202.1</c:v>
                </c:pt>
                <c:pt idx="2">
                  <c:v>19447.349999999999</c:v>
                </c:pt>
                <c:pt idx="3">
                  <c:v>7135.05</c:v>
                </c:pt>
                <c:pt idx="4">
                  <c:v>21056.75</c:v>
                </c:pt>
                <c:pt idx="5">
                  <c:v>14062.099999999999</c:v>
                </c:pt>
                <c:pt idx="6">
                  <c:v>7640.75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9024304"/>
        <c:axId val="779017232"/>
      </c:barChart>
      <c:catAx>
        <c:axId val="77902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Фамилии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9017232"/>
        <c:crosses val="autoZero"/>
        <c:auto val="1"/>
        <c:lblAlgn val="ctr"/>
        <c:lblOffset val="100"/>
        <c:noMultiLvlLbl val="0"/>
      </c:catAx>
      <c:valAx>
        <c:axId val="77901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</a:t>
                </a:r>
                <a:r>
                  <a:rPr lang="ru-RU" baseline="0"/>
                  <a:t> выдаче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902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137160</xdr:colOff>
      <xdr:row>1</xdr:row>
      <xdr:rowOff>15240</xdr:rowOff>
    </xdr:from>
    <xdr:to>
      <xdr:col>16</xdr:col>
      <xdr:colOff>441960</xdr:colOff>
      <xdr:row>14</xdr:row>
      <xdr:rowOff>91440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"/>
  <sheetViews>
    <sheetView tabSelected="1" workbookViewId="0">
      <selection activeCell="D8" sqref="D8"/>
    </sheetView>
  </sheetViews>
  <sheetFormatPr defaultRowHeight="14.4" outlineLevelCol="1" x14ac:dyDescent="0.3"/>
  <cols>
    <col min="2" max="2" width="8.88671875" customWidth="1"/>
    <col min="3" max="3" width="13.44140625" customWidth="1" outlineLevel="1"/>
    <col min="4" max="4" width="8.88671875" customWidth="1" outlineLevel="1"/>
    <col min="5" max="5" width="10.21875" customWidth="1" outlineLevel="1"/>
    <col min="6" max="6" width="12.5546875" customWidth="1" outlineLevel="1"/>
    <col min="7" max="7" width="12.21875" customWidth="1" outlineLevel="1"/>
    <col min="8" max="8" width="11.21875" customWidth="1" outlineLevel="1"/>
    <col min="9" max="9" width="8.88671875" customWidth="1"/>
  </cols>
  <sheetData>
    <row r="1" spans="2:9" ht="15" customHeight="1" thickBot="1" x14ac:dyDescent="0.35"/>
    <row r="2" spans="2:9" ht="15" customHeight="1" thickBot="1" x14ac:dyDescent="0.35">
      <c r="B2" s="3"/>
      <c r="C2" s="23" t="s">
        <v>7</v>
      </c>
      <c r="D2" s="24"/>
      <c r="E2" s="25"/>
      <c r="F2" s="26" t="s">
        <v>8</v>
      </c>
      <c r="G2" s="24"/>
      <c r="H2" s="25"/>
      <c r="I2" s="4"/>
    </row>
    <row r="3" spans="2:9" ht="31.8" customHeight="1" x14ac:dyDescent="0.3">
      <c r="B3" s="2"/>
      <c r="C3" s="9" t="s">
        <v>9</v>
      </c>
      <c r="D3" s="10" t="s">
        <v>10</v>
      </c>
      <c r="E3" s="9" t="s">
        <v>11</v>
      </c>
      <c r="F3" s="11" t="s">
        <v>12</v>
      </c>
      <c r="G3" s="11" t="s">
        <v>13</v>
      </c>
      <c r="H3" s="11" t="s">
        <v>14</v>
      </c>
      <c r="I3" s="12" t="s">
        <v>15</v>
      </c>
    </row>
    <row r="4" spans="2:9" ht="15" customHeight="1" x14ac:dyDescent="0.3">
      <c r="B4" s="8" t="s">
        <v>0</v>
      </c>
      <c r="C4" s="21">
        <f ca="1">RANDBETWEEN(0, 50000)</f>
        <v>15987</v>
      </c>
      <c r="D4" s="21">
        <f ca="1">RANDBETWEEN(0, 5000)</f>
        <v>3667</v>
      </c>
      <c r="E4" s="5">
        <f ca="1">C4+D4</f>
        <v>19654</v>
      </c>
      <c r="F4" s="1">
        <f ca="1">E4*0.13</f>
        <v>2555.02</v>
      </c>
      <c r="G4" s="1">
        <f ca="1">E4*0.22</f>
        <v>4323.88</v>
      </c>
      <c r="H4" s="6">
        <f ca="1">F4+G4</f>
        <v>6878.9</v>
      </c>
      <c r="I4" s="7">
        <f ca="1">E4-H4</f>
        <v>12775.1</v>
      </c>
    </row>
    <row r="5" spans="2:9" ht="15" customHeight="1" x14ac:dyDescent="0.3">
      <c r="B5" s="8" t="s">
        <v>1</v>
      </c>
      <c r="C5" s="21">
        <f t="shared" ref="C5:C10" ca="1" si="0">RANDBETWEEN(0, 50000)</f>
        <v>12971</v>
      </c>
      <c r="D5" s="21">
        <f t="shared" ref="D5:D10" ca="1" si="1">RANDBETWEEN(0, 5000)</f>
        <v>4263</v>
      </c>
      <c r="E5" s="5">
        <f t="shared" ref="E5:E10" ca="1" si="2">C5+D5</f>
        <v>17234</v>
      </c>
      <c r="F5" s="1">
        <f t="shared" ref="F5:F10" ca="1" si="3">E5*0.13</f>
        <v>2240.42</v>
      </c>
      <c r="G5" s="1">
        <f t="shared" ref="G5:G10" ca="1" si="4">E5*0.22</f>
        <v>3791.48</v>
      </c>
      <c r="H5" s="6">
        <f t="shared" ref="H5:H10" ca="1" si="5">F5+G5</f>
        <v>6031.9</v>
      </c>
      <c r="I5" s="7">
        <f t="shared" ref="I5:I10" ca="1" si="6">E5-H5</f>
        <v>11202.1</v>
      </c>
    </row>
    <row r="6" spans="2:9" ht="15" customHeight="1" x14ac:dyDescent="0.3">
      <c r="B6" s="8" t="s">
        <v>2</v>
      </c>
      <c r="C6" s="21">
        <f t="shared" ca="1" si="0"/>
        <v>29521</v>
      </c>
      <c r="D6" s="21">
        <f t="shared" ca="1" si="1"/>
        <v>398</v>
      </c>
      <c r="E6" s="5">
        <f t="shared" ca="1" si="2"/>
        <v>29919</v>
      </c>
      <c r="F6" s="1">
        <f t="shared" ca="1" si="3"/>
        <v>3889.4700000000003</v>
      </c>
      <c r="G6" s="1">
        <f t="shared" ca="1" si="4"/>
        <v>6582.18</v>
      </c>
      <c r="H6" s="6">
        <f t="shared" ca="1" si="5"/>
        <v>10471.650000000001</v>
      </c>
      <c r="I6" s="7">
        <f t="shared" ca="1" si="6"/>
        <v>19447.349999999999</v>
      </c>
    </row>
    <row r="7" spans="2:9" ht="15" customHeight="1" x14ac:dyDescent="0.3">
      <c r="B7" s="8" t="s">
        <v>3</v>
      </c>
      <c r="C7" s="21">
        <f t="shared" ca="1" si="0"/>
        <v>7640</v>
      </c>
      <c r="D7" s="21">
        <f t="shared" ca="1" si="1"/>
        <v>3337</v>
      </c>
      <c r="E7" s="5">
        <f t="shared" ca="1" si="2"/>
        <v>10977</v>
      </c>
      <c r="F7" s="1">
        <f t="shared" ca="1" si="3"/>
        <v>1427.01</v>
      </c>
      <c r="G7" s="1">
        <f t="shared" ca="1" si="4"/>
        <v>2414.94</v>
      </c>
      <c r="H7" s="6">
        <f t="shared" ca="1" si="5"/>
        <v>3841.95</v>
      </c>
      <c r="I7" s="7">
        <f t="shared" ca="1" si="6"/>
        <v>7135.05</v>
      </c>
    </row>
    <row r="8" spans="2:9" ht="15" customHeight="1" x14ac:dyDescent="0.3">
      <c r="B8" s="8" t="s">
        <v>4</v>
      </c>
      <c r="C8" s="21">
        <f t="shared" ca="1" si="0"/>
        <v>30294</v>
      </c>
      <c r="D8" s="21">
        <f t="shared" ca="1" si="1"/>
        <v>2101</v>
      </c>
      <c r="E8" s="5">
        <f t="shared" ca="1" si="2"/>
        <v>32395</v>
      </c>
      <c r="F8" s="1">
        <f t="shared" ca="1" si="3"/>
        <v>4211.3500000000004</v>
      </c>
      <c r="G8" s="1">
        <f t="shared" ca="1" si="4"/>
        <v>7126.9</v>
      </c>
      <c r="H8" s="6">
        <f t="shared" ca="1" si="5"/>
        <v>11338.25</v>
      </c>
      <c r="I8" s="7">
        <f t="shared" ca="1" si="6"/>
        <v>21056.75</v>
      </c>
    </row>
    <row r="9" spans="2:9" ht="15" customHeight="1" x14ac:dyDescent="0.3">
      <c r="B9" s="8" t="s">
        <v>5</v>
      </c>
      <c r="C9" s="21">
        <f t="shared" ca="1" si="0"/>
        <v>18503</v>
      </c>
      <c r="D9" s="21">
        <f t="shared" ca="1" si="1"/>
        <v>3131</v>
      </c>
      <c r="E9" s="5">
        <f t="shared" ca="1" si="2"/>
        <v>21634</v>
      </c>
      <c r="F9" s="1">
        <f t="shared" ca="1" si="3"/>
        <v>2812.42</v>
      </c>
      <c r="G9" s="1">
        <f t="shared" ca="1" si="4"/>
        <v>4759.4800000000005</v>
      </c>
      <c r="H9" s="6">
        <f t="shared" ca="1" si="5"/>
        <v>7571.9000000000005</v>
      </c>
      <c r="I9" s="7">
        <f t="shared" ca="1" si="6"/>
        <v>14062.099999999999</v>
      </c>
    </row>
    <row r="10" spans="2:9" ht="15" customHeight="1" x14ac:dyDescent="0.3">
      <c r="B10" s="13" t="s">
        <v>6</v>
      </c>
      <c r="C10" s="22">
        <f t="shared" ca="1" si="0"/>
        <v>9730</v>
      </c>
      <c r="D10" s="22">
        <f t="shared" ca="1" si="1"/>
        <v>2025</v>
      </c>
      <c r="E10" s="15">
        <f t="shared" ca="1" si="2"/>
        <v>11755</v>
      </c>
      <c r="F10" s="14">
        <f t="shared" ca="1" si="3"/>
        <v>1528.15</v>
      </c>
      <c r="G10" s="14">
        <f t="shared" ca="1" si="4"/>
        <v>2586.1</v>
      </c>
      <c r="H10" s="16">
        <f t="shared" ca="1" si="5"/>
        <v>4114.25</v>
      </c>
      <c r="I10" s="17">
        <f t="shared" ca="1" si="6"/>
        <v>7640.75</v>
      </c>
    </row>
    <row r="11" spans="2:9" ht="15" customHeight="1" thickBot="1" x14ac:dyDescent="0.35">
      <c r="B11" s="18" t="s">
        <v>16</v>
      </c>
      <c r="C11" s="19">
        <f t="shared" ref="C11:I11" ca="1" si="7">SUM(C4:C10)</f>
        <v>124646</v>
      </c>
      <c r="D11" s="19">
        <f t="shared" ca="1" si="7"/>
        <v>18922</v>
      </c>
      <c r="E11" s="19">
        <f t="shared" ca="1" si="7"/>
        <v>143568</v>
      </c>
      <c r="F11" s="19">
        <f t="shared" ca="1" si="7"/>
        <v>18663.840000000004</v>
      </c>
      <c r="G11" s="19">
        <f t="shared" ca="1" si="7"/>
        <v>31584.959999999995</v>
      </c>
      <c r="H11" s="19">
        <f t="shared" ca="1" si="7"/>
        <v>50248.800000000003</v>
      </c>
      <c r="I11" s="20">
        <f t="shared" ca="1" si="7"/>
        <v>93319.200000000012</v>
      </c>
    </row>
  </sheetData>
  <sheetProtection sheet="1" objects="1" scenarios="1"/>
  <mergeCells count="2">
    <mergeCell ref="C2:E2"/>
    <mergeCell ref="F2:H2"/>
  </mergeCells>
  <conditionalFormatting sqref="I4:I10">
    <cfRule type="cellIs" dxfId="2" priority="3" operator="lessThan">
      <formula>12333</formula>
    </cfRule>
    <cfRule type="cellIs" dxfId="1" priority="2" operator="lessThan">
      <formula>12333</formula>
    </cfRule>
  </conditionalFormatting>
  <conditionalFormatting sqref="I4:I10">
    <cfRule type="cellIs" dxfId="0" priority="1" operator="lessThan">
      <formula>12333</formula>
    </cfRule>
  </conditionalFormatting>
  <dataValidations count="1">
    <dataValidation type="decimal" operator="greaterThanOrEqual" allowBlank="1" showInputMessage="1" showErrorMessage="1" errorTitle="Неправильный ввод" error="Вводить можно только положительные числа!" promptTitle="Введите значение" prompt="Введите положительное число" sqref="C4:D10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Функции оболочки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2025-11-19T13:23:34Z</dcterms:modified>
</cp:coreProperties>
</file>