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Задание 5" sheetId="1" r:id="rId1"/>
    <sheet name="Задание 6" sheetId="2" r:id="rId2"/>
  </sheets>
  <definedNames>
    <definedName name="solver_adj" localSheetId="0" hidden="1">'Задание 5'!$G$3:$G$5</definedName>
    <definedName name="solver_adj" localSheetId="1" hidden="1">'Задание 6'!$B$3:$B$8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'Задание 5'!$B$7</definedName>
    <definedName name="solver_lhs1" localSheetId="1" hidden="1">'Задание 6'!$B$3:$B$8</definedName>
    <definedName name="solver_lhs2" localSheetId="0" hidden="1">'Задание 5'!$C$7</definedName>
    <definedName name="solver_lhs2" localSheetId="1" hidden="1">'Задание 6'!$C$3</definedName>
    <definedName name="solver_lhs3" localSheetId="0" hidden="1">'Задание 5'!$D$7</definedName>
    <definedName name="solver_lhs3" localSheetId="1" hidden="1">'Задание 6'!$D$3</definedName>
    <definedName name="solver_lhs4" localSheetId="0" hidden="1">'Задание 5'!$E$7</definedName>
    <definedName name="solver_lhs4" localSheetId="1" hidden="1">'Задание 6'!$E$3</definedName>
    <definedName name="solver_lhs5" localSheetId="0" hidden="1">'Задание 5'!$G$3:$G$5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5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'Задание 5'!$H$6</definedName>
    <definedName name="solver_opt" localSheetId="1" hidden="1">'Задание 6'!$B$9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1</definedName>
    <definedName name="solver_rel1" localSheetId="1" hidden="1">4</definedName>
    <definedName name="solver_rel2" localSheetId="0" hidden="1">1</definedName>
    <definedName name="solver_rel2" localSheetId="1" hidden="1">3</definedName>
    <definedName name="solver_rel3" localSheetId="0" hidden="1">1</definedName>
    <definedName name="solver_rel3" localSheetId="1" hidden="1">3</definedName>
    <definedName name="solver_rel4" localSheetId="0" hidden="1">1</definedName>
    <definedName name="solver_rel4" localSheetId="1" hidden="1">3</definedName>
    <definedName name="solver_rel5" localSheetId="0" hidden="1">4</definedName>
    <definedName name="solver_rhs1" localSheetId="0" hidden="1">'Задание 5'!$B$6</definedName>
    <definedName name="solver_rhs1" localSheetId="1" hidden="1">"целое"</definedName>
    <definedName name="solver_rhs2" localSheetId="0" hidden="1">'Задание 5'!$C$6</definedName>
    <definedName name="solver_rhs2" localSheetId="1" hidden="1">300</definedName>
    <definedName name="solver_rhs3" localSheetId="0" hidden="1">'Задание 5'!$D$6</definedName>
    <definedName name="solver_rhs3" localSheetId="1" hidden="1">200</definedName>
    <definedName name="solver_rhs4" localSheetId="0" hidden="1">'Задание 5'!$E$6</definedName>
    <definedName name="solver_rhs4" localSheetId="1" hidden="1">100</definedName>
    <definedName name="solver_rhs5" localSheetId="0" hidden="1">"целое"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52511"/>
</workbook>
</file>

<file path=xl/calcChain.xml><?xml version="1.0" encoding="utf-8"?>
<calcChain xmlns="http://schemas.openxmlformats.org/spreadsheetml/2006/main">
  <c r="E3" i="2" l="1"/>
  <c r="D3" i="2"/>
  <c r="C3" i="2"/>
  <c r="B9" i="2"/>
  <c r="H5" i="1"/>
  <c r="H4" i="1"/>
  <c r="H3" i="1"/>
  <c r="E7" i="1"/>
  <c r="D7" i="1"/>
  <c r="C7" i="1"/>
  <c r="B7" i="1"/>
  <c r="H6" i="1" l="1"/>
  <c r="G6" i="1" l="1"/>
</calcChain>
</file>

<file path=xl/sharedStrings.xml><?xml version="1.0" encoding="utf-8"?>
<sst xmlns="http://schemas.openxmlformats.org/spreadsheetml/2006/main" count="28" uniqueCount="27">
  <si>
    <t>Наименование изделия</t>
  </si>
  <si>
    <t>Кинескоп</t>
  </si>
  <si>
    <t>Динамик</t>
  </si>
  <si>
    <t>Блок питания</t>
  </si>
  <si>
    <t>Плата</t>
  </si>
  <si>
    <t>Расход на 1 единицу</t>
  </si>
  <si>
    <t>Стереосистема</t>
  </si>
  <si>
    <t>Телевизор</t>
  </si>
  <si>
    <t>Акустическая система</t>
  </si>
  <si>
    <t>Запасы на складе</t>
  </si>
  <si>
    <t>Прибыль от продажи 1 единицы</t>
  </si>
  <si>
    <t>Количество произведенных товаров</t>
  </si>
  <si>
    <t>Общая прибыль</t>
  </si>
  <si>
    <t>Всего</t>
  </si>
  <si>
    <t>Общий расход</t>
  </si>
  <si>
    <t>Возможные распилы</t>
  </si>
  <si>
    <t>5м + 5м</t>
  </si>
  <si>
    <t>5м + 4м</t>
  </si>
  <si>
    <t>5м + 3м</t>
  </si>
  <si>
    <t>4м + 4м</t>
  </si>
  <si>
    <t>4м + 3м + 3м</t>
  </si>
  <si>
    <t>3м + 3м + 3м</t>
  </si>
  <si>
    <t>Количество досок</t>
  </si>
  <si>
    <t>Количество досок после распила</t>
  </si>
  <si>
    <t>3м</t>
  </si>
  <si>
    <t>4м</t>
  </si>
  <si>
    <t>5м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</si>
</sst>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6" borderId="1" xfId="0" applyFill="1" applyBorder="1"/>
    <xf numFmtId="0" fontId="0" fillId="0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G17" sqref="G17"/>
    </sheetView>
  </sheetViews>
  <sheetFormatPr defaultRowHeight="14.4" x14ac:dyDescent="0.3"/>
  <cols>
    <col min="1" max="1" width="22.109375" bestFit="1" customWidth="1"/>
    <col min="2" max="2" width="9.21875" bestFit="1" customWidth="1"/>
    <col min="4" max="4" width="12.6640625" bestFit="1" customWidth="1"/>
    <col min="6" max="6" width="29.33203125" bestFit="1" customWidth="1"/>
    <col min="7" max="8" width="33.109375" bestFit="1" customWidth="1"/>
    <col min="9" max="9" width="14.88671875" bestFit="1" customWidth="1"/>
  </cols>
  <sheetData>
    <row r="1" spans="1:8" x14ac:dyDescent="0.3">
      <c r="A1" s="1" t="s">
        <v>0</v>
      </c>
      <c r="B1" s="2" t="s">
        <v>5</v>
      </c>
      <c r="C1" s="2"/>
      <c r="D1" s="2"/>
      <c r="E1" s="2"/>
      <c r="F1" s="1" t="s">
        <v>10</v>
      </c>
      <c r="G1" s="11" t="s">
        <v>11</v>
      </c>
      <c r="H1" s="1" t="s">
        <v>12</v>
      </c>
    </row>
    <row r="2" spans="1:8" x14ac:dyDescent="0.3">
      <c r="A2" s="1"/>
      <c r="B2" s="3" t="s">
        <v>1</v>
      </c>
      <c r="C2" s="3" t="s">
        <v>2</v>
      </c>
      <c r="D2" s="3" t="s">
        <v>3</v>
      </c>
      <c r="E2" s="4" t="s">
        <v>4</v>
      </c>
      <c r="F2" s="1"/>
      <c r="G2" s="12"/>
      <c r="H2" s="1"/>
    </row>
    <row r="3" spans="1:8" x14ac:dyDescent="0.3">
      <c r="A3" s="3" t="s">
        <v>6</v>
      </c>
      <c r="B3" s="16">
        <v>0</v>
      </c>
      <c r="C3" s="16">
        <v>2</v>
      </c>
      <c r="D3" s="16">
        <v>1</v>
      </c>
      <c r="E3" s="16">
        <v>6</v>
      </c>
      <c r="F3" s="17">
        <v>50</v>
      </c>
      <c r="G3" s="6">
        <v>0</v>
      </c>
      <c r="H3" s="4">
        <f>G3*F3</f>
        <v>0</v>
      </c>
    </row>
    <row r="4" spans="1:8" x14ac:dyDescent="0.3">
      <c r="A4" s="3" t="s">
        <v>7</v>
      </c>
      <c r="B4" s="16">
        <v>1</v>
      </c>
      <c r="C4" s="16">
        <v>2</v>
      </c>
      <c r="D4" s="16">
        <v>2</v>
      </c>
      <c r="E4" s="16">
        <v>8</v>
      </c>
      <c r="F4" s="17">
        <v>90</v>
      </c>
      <c r="G4" s="6">
        <v>63</v>
      </c>
      <c r="H4" s="4">
        <f>G4*F4</f>
        <v>5670</v>
      </c>
    </row>
    <row r="5" spans="1:8" x14ac:dyDescent="0.3">
      <c r="A5" s="3" t="s">
        <v>8</v>
      </c>
      <c r="B5" s="16">
        <v>0</v>
      </c>
      <c r="C5" s="16">
        <v>5</v>
      </c>
      <c r="D5" s="16">
        <v>2</v>
      </c>
      <c r="E5" s="16">
        <v>4</v>
      </c>
      <c r="F5" s="17">
        <v>45</v>
      </c>
      <c r="G5" s="6">
        <v>24</v>
      </c>
      <c r="H5" s="4">
        <f>G5*F5</f>
        <v>1080</v>
      </c>
    </row>
    <row r="6" spans="1:8" x14ac:dyDescent="0.3">
      <c r="A6" s="3" t="s">
        <v>9</v>
      </c>
      <c r="B6" s="7">
        <v>250</v>
      </c>
      <c r="C6" s="7">
        <v>800</v>
      </c>
      <c r="D6" s="7">
        <v>450</v>
      </c>
      <c r="E6" s="7">
        <v>600</v>
      </c>
      <c r="F6" s="3" t="s">
        <v>13</v>
      </c>
      <c r="G6" s="4">
        <f>SUM(G3:G5)</f>
        <v>87</v>
      </c>
      <c r="H6" s="10">
        <f>SUM(H3:H5)</f>
        <v>6750</v>
      </c>
    </row>
    <row r="7" spans="1:8" x14ac:dyDescent="0.3">
      <c r="A7" s="8" t="s">
        <v>14</v>
      </c>
      <c r="B7" s="13">
        <f>B4*G4</f>
        <v>63</v>
      </c>
      <c r="C7" s="13">
        <f>C3*G3+C4*G4+C5*G5</f>
        <v>246</v>
      </c>
      <c r="D7" s="13">
        <f>D3*G3+D4*G4+D5*G5</f>
        <v>174</v>
      </c>
      <c r="E7" s="13">
        <f>E3*G3+E4*G4+E5*G5</f>
        <v>600</v>
      </c>
    </row>
  </sheetData>
  <mergeCells count="5">
    <mergeCell ref="A1:A2"/>
    <mergeCell ref="B1:E1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F12" sqref="F12"/>
    </sheetView>
  </sheetViews>
  <sheetFormatPr defaultRowHeight="14.4" x14ac:dyDescent="0.3"/>
  <cols>
    <col min="1" max="1" width="19.33203125" bestFit="1" customWidth="1"/>
    <col min="2" max="2" width="16.6640625" bestFit="1" customWidth="1"/>
    <col min="5" max="5" width="11.77734375" customWidth="1"/>
  </cols>
  <sheetData>
    <row r="1" spans="1:5" x14ac:dyDescent="0.3">
      <c r="A1" s="1" t="s">
        <v>15</v>
      </c>
      <c r="B1" s="14" t="s">
        <v>22</v>
      </c>
      <c r="C1" s="2" t="s">
        <v>23</v>
      </c>
      <c r="D1" s="2"/>
      <c r="E1" s="2"/>
    </row>
    <row r="2" spans="1:5" x14ac:dyDescent="0.3">
      <c r="A2" s="1"/>
      <c r="B2" s="14"/>
      <c r="C2" s="4" t="s">
        <v>24</v>
      </c>
      <c r="D2" s="4" t="s">
        <v>25</v>
      </c>
      <c r="E2" s="4" t="s">
        <v>26</v>
      </c>
    </row>
    <row r="3" spans="1:5" x14ac:dyDescent="0.3">
      <c r="A3" s="3" t="s">
        <v>16</v>
      </c>
      <c r="B3" s="5">
        <v>25</v>
      </c>
      <c r="C3" s="15">
        <f>B5+B7*2+B8*3</f>
        <v>300</v>
      </c>
      <c r="D3" s="15">
        <f>B4+B6*2+B7</f>
        <v>200</v>
      </c>
      <c r="E3" s="15">
        <f>B3*2+B4+B5</f>
        <v>100</v>
      </c>
    </row>
    <row r="4" spans="1:5" x14ac:dyDescent="0.3">
      <c r="A4" s="3" t="s">
        <v>17</v>
      </c>
      <c r="B4" s="5">
        <v>50</v>
      </c>
    </row>
    <row r="5" spans="1:5" x14ac:dyDescent="0.3">
      <c r="A5" s="3" t="s">
        <v>18</v>
      </c>
      <c r="B5" s="5">
        <v>0</v>
      </c>
    </row>
    <row r="6" spans="1:5" x14ac:dyDescent="0.3">
      <c r="A6" s="3" t="s">
        <v>19</v>
      </c>
      <c r="B6" s="5">
        <v>0</v>
      </c>
    </row>
    <row r="7" spans="1:5" x14ac:dyDescent="0.3">
      <c r="A7" s="3" t="s">
        <v>20</v>
      </c>
      <c r="B7" s="5">
        <v>150</v>
      </c>
    </row>
    <row r="8" spans="1:5" x14ac:dyDescent="0.3">
      <c r="A8" s="3" t="s">
        <v>21</v>
      </c>
      <c r="B8" s="5">
        <v>0</v>
      </c>
    </row>
    <row r="9" spans="1:5" x14ac:dyDescent="0.3">
      <c r="A9" s="3" t="s">
        <v>13</v>
      </c>
      <c r="B9" s="9">
        <f>SUM(B3:B8)</f>
        <v>225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5</vt:lpstr>
      <vt:lpstr>Задание 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2026-02-08T10:11:44Z</dcterms:modified>
</cp:coreProperties>
</file>